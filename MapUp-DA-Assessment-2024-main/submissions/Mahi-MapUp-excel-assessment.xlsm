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r\Desktop\"/>
    </mc:Choice>
  </mc:AlternateContent>
  <bookViews>
    <workbookView xWindow="0" yWindow="504" windowWidth="29400" windowHeight="16296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Dataset!$A$1:$X$1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C5" i="15" l="1"/>
  <c r="F27" i="18"/>
  <c r="F26" i="18"/>
  <c r="F25" i="18"/>
  <c r="F23" i="18"/>
  <c r="F24" i="18"/>
  <c r="F22" i="18"/>
  <c r="F21" i="18"/>
  <c r="F20" i="18"/>
  <c r="F18" i="18"/>
  <c r="F19" i="18"/>
  <c r="F17" i="18"/>
  <c r="F16" i="18"/>
  <c r="F15" i="18"/>
  <c r="F13" i="18"/>
  <c r="F14" i="18"/>
  <c r="F12" i="18"/>
  <c r="F11" i="18"/>
  <c r="F10" i="18"/>
  <c r="F7" i="18"/>
  <c r="F8" i="18"/>
  <c r="F9" i="18"/>
  <c r="F6" i="18"/>
  <c r="E27" i="18"/>
  <c r="E26" i="18"/>
  <c r="E25" i="18"/>
  <c r="E23" i="18"/>
  <c r="E24" i="18"/>
  <c r="E22" i="18"/>
  <c r="E21" i="18"/>
  <c r="E20" i="18"/>
  <c r="E18" i="18"/>
  <c r="E19" i="18"/>
  <c r="E17" i="18"/>
  <c r="E16" i="18"/>
  <c r="E15" i="18"/>
  <c r="E13" i="18"/>
  <c r="E14" i="18"/>
  <c r="E12" i="18"/>
  <c r="E11" i="18"/>
  <c r="E10" i="18"/>
  <c r="E7" i="18"/>
  <c r="E8" i="18"/>
  <c r="E9" i="18"/>
  <c r="E6" i="18"/>
  <c r="D27" i="18"/>
  <c r="D26" i="18"/>
  <c r="D25" i="18"/>
  <c r="D23" i="18"/>
  <c r="D24" i="18"/>
  <c r="D22" i="18"/>
  <c r="D21" i="18"/>
  <c r="D20" i="18"/>
  <c r="D18" i="18"/>
  <c r="D19" i="18"/>
  <c r="D17" i="18"/>
  <c r="D16" i="18"/>
  <c r="D15" i="18"/>
  <c r="D13" i="18"/>
  <c r="D14" i="18"/>
  <c r="D12" i="18"/>
  <c r="D11" i="18"/>
  <c r="D10" i="18"/>
  <c r="D7" i="18"/>
  <c r="D8" i="18"/>
  <c r="D9" i="18"/>
  <c r="D6" i="18"/>
  <c r="C27" i="18"/>
  <c r="C26" i="18"/>
  <c r="C25" i="18"/>
  <c r="C23" i="18"/>
  <c r="C24" i="18"/>
  <c r="C22" i="18"/>
  <c r="C21" i="18"/>
  <c r="C20" i="18"/>
  <c r="C18" i="18"/>
  <c r="C19" i="18"/>
  <c r="C17" i="18"/>
  <c r="C16" i="18"/>
  <c r="C15" i="18"/>
  <c r="C14" i="18"/>
  <c r="C13" i="18"/>
  <c r="C12" i="18"/>
  <c r="C11" i="18"/>
  <c r="C10" i="18"/>
  <c r="C8" i="18"/>
  <c r="C9" i="18"/>
  <c r="C7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C22" i="19" l="1"/>
  <c r="F30" i="18"/>
  <c r="F29" i="18"/>
  <c r="F28" i="18"/>
  <c r="E30" i="18"/>
  <c r="E29" i="18"/>
  <c r="E28" i="18"/>
  <c r="D30" i="18"/>
  <c r="D29" i="18"/>
  <c r="D28" i="18"/>
  <c r="B29" i="18"/>
  <c r="C30" i="18"/>
  <c r="C29" i="18"/>
  <c r="C28" i="18"/>
  <c r="B28" i="18"/>
  <c r="B30" i="18"/>
  <c r="H41" i="1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<sst xmlns="http://schemas.openxmlformats.org/spreadsheetml/2006/main" count="408" uniqueCount="185">
  <si>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</si>
  <si>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</si>
  <si>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</si>
  <si>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</si>
  <si>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</si>
  <si>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</si>
  <si>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</si>
  <si>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</si>
  <si>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</si>
  <si>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</si>
  <si>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</si>
  <si>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</si>
  <si>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</si>
  <si>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</si>
  <si>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</si>
  <si>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</si>
  <si>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</si>
  <si>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</si>
  <si>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</si>
  <si>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</si>
  <si>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</si>
  <si>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</si>
  <si>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</si>
  <si>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</si>
  <si>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</si>
  <si>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</si>
  <si>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</si>
  <si>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</si>
  <si>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</si>
  <si>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</si>
  <si>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</si>
  <si>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</si>
  <si>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</si>
  <si>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</si>
  <si>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</si>
  <si>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</si>
  <si>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</si>
  <si>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</si>
  <si>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</si>
  <si>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</si>
  <si>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</si>
  <si>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</si>
  <si>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</si>
  <si>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</si>
  <si>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</si>
  <si>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</si>
  <si>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</si>
  <si>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</si>
  <si>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</si>
  <si>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</si>
  <si>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</si>
  <si>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</si>
  <si>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</si>
  <si>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</si>
  <si>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</si>
  <si>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</si>
  <si>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</si>
  <si>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</si>
  <si>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</si>
  <si>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</si>
  <si>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</si>
  <si>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</si>
  <si>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</si>
  <si>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</si>
  <si>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</si>
  <si>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</si>
  <si>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</si>
  <si>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</si>
  <si>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</si>
  <si>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</si>
  <si>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</si>
  <si>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</si>
  <si>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</si>
  <si>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</si>
  <si>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</si>
  <si>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</si>
  <si>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</si>
  <si>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</si>
  <si>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</si>
  <si>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</si>
  <si>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</si>
  <si>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</si>
  <si>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</si>
  <si>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</si>
  <si>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</si>
  <si>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</si>
  <si>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</si>
  <si>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</si>
  <si>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</si>
  <si>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</si>
  <si>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</si>
  <si>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</si>
  <si>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</si>
  <si>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</si>
  <si>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</si>
  <si>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</si>
  <si>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</si>
  <si>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</si>
  <si>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</si>
  <si>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</si>
  <si>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</si>
  <si>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</si>
  <si>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</si>
  <si>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</si>
  <si>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</si>
  <si>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</si>
  <si>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</si>
  <si>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</si>
  <si>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</si>
  <si>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</si>
  <si>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</si>
  <si>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</si>
  <si>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</si>
  <si>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</si>
  <si>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</si>
  <si>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</si>
  <si>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</si>
  <si>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</si>
  <si>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</si>
  <si>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</si>
  <si>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</si>
  <si>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</si>
  <si>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</si>
  <si>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</si>
  <si>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</si>
  <si>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</si>
  <si>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</si>
  <si>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</si>
  <si>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</si>
  <si>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</si>
  <si>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</si>
  <si>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</si>
  <si>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</si>
  <si>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</si>
  <si>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</si>
  <si>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</si>
  <si>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</si>
  <si>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</si>
  <si>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</si>
  <si>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</si>
  <si>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</si>
  <si>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</si>
  <si>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</si>
  <si>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</si>
  <si>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</si>
  <si>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</si>
  <si>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</si>
  <si>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</si>
  <si>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</si>
  <si>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</si>
  <si>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</si>
  <si>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</si>
  <si>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</si>
  <si>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</si>
  <si>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</si>
  <si>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</si>
  <si>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</si>
  <si>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</si>
  <si>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</si>
  <si>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</si>
  <si>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</si>
  <si>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</si>
  <si>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</si>
  <si>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</si>
  <si>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</si>
  <si>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</si>
  <si>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</si>
  <si>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</si>
  <si>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</si>
  <si>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</si>
  <si>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</si>
  <si>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</si>
  <si>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</si>
  <si>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</si>
  <si>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</si>
  <si>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</si>
  <si>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r>
      <t xml:space="preserve">I selected car1 column and then clicked ctrl + shift + down arrow so all rows in that car 1 column is selected. Now click on right arrow so all columns upto date are selected. Now goto </t>
    </r>
    <r>
      <rPr>
        <b/>
        <sz val="10"/>
        <color rgb="FF000000"/>
        <rFont val="Calibri"/>
        <family val="2"/>
        <scheme val="minor"/>
      </rPr>
      <t>Home</t>
    </r>
    <r>
      <rPr>
        <sz val="10"/>
        <color rgb="FF000000"/>
        <rFont val="Calibri"/>
        <family val="2"/>
        <scheme val="minor"/>
      </rPr>
      <t xml:space="preserve"> menu and click on</t>
    </r>
    <r>
      <rPr>
        <b/>
        <sz val="10"/>
        <color rgb="FF000000"/>
        <rFont val="Calibri"/>
        <family val="2"/>
        <scheme val="minor"/>
      </rPr>
      <t xml:space="preserve"> Conditional Formatting</t>
    </r>
    <r>
      <rPr>
        <sz val="10"/>
        <color rgb="FF000000"/>
        <rFont val="Calibri"/>
        <family val="2"/>
        <scheme val="minor"/>
      </rPr>
      <t xml:space="preserve"> then select </t>
    </r>
    <r>
      <rPr>
        <b/>
        <sz val="10"/>
        <color rgb="FF000000"/>
        <rFont val="Calibri"/>
        <family val="2"/>
        <scheme val="minor"/>
      </rPr>
      <t>Highlight cells rules</t>
    </r>
    <r>
      <rPr>
        <sz val="10"/>
        <color rgb="FF000000"/>
        <rFont val="Calibri"/>
        <family val="2"/>
        <scheme val="minor"/>
      </rPr>
      <t xml:space="preserve"> after select </t>
    </r>
    <r>
      <rPr>
        <b/>
        <sz val="10"/>
        <color rgb="FF000000"/>
        <rFont val="Calibri"/>
        <family val="2"/>
        <scheme val="minor"/>
      </rPr>
      <t>equal</t>
    </r>
    <r>
      <rPr>
        <sz val="10"/>
        <color rgb="FF000000"/>
        <rFont val="Calibri"/>
        <family val="2"/>
        <scheme val="minor"/>
      </rPr>
      <t xml:space="preserve"> to now give value </t>
    </r>
    <r>
      <rPr>
        <b/>
        <sz val="10"/>
        <color rgb="FF000000"/>
        <rFont val="Calibri"/>
        <family val="2"/>
        <scheme val="minor"/>
      </rPr>
      <t>-1</t>
    </r>
    <r>
      <rPr>
        <sz val="10"/>
        <color rgb="FF000000"/>
        <rFont val="Calibri"/>
        <family val="2"/>
        <scheme val="minor"/>
      </rPr>
      <t xml:space="preserve"> and select dropdown value to  </t>
    </r>
    <r>
      <rPr>
        <b/>
        <sz val="10"/>
        <color rgb="FF000000"/>
        <rFont val="Calibri"/>
        <family val="2"/>
        <scheme val="minor"/>
      </rPr>
      <t>light fill Red colour</t>
    </r>
    <r>
      <rPr>
        <sz val="10"/>
        <color rgb="FF000000"/>
        <rFont val="Calibri"/>
        <family val="2"/>
        <scheme val="minor"/>
      </rPr>
      <t xml:space="preserve">. Now all values with selected columns get red colour.  Green: </t>
    </r>
    <r>
      <rPr>
        <b/>
        <sz val="10"/>
        <color rgb="FF000000"/>
        <rFont val="Calibri"/>
        <family val="2"/>
        <scheme val="minor"/>
      </rPr>
      <t>similarly</t>
    </r>
    <r>
      <rPr>
        <sz val="10"/>
        <color rgb="FF000000"/>
        <rFont val="Calibri"/>
        <family val="2"/>
        <scheme val="minor"/>
      </rPr>
      <t xml:space="preserve"> now give value in </t>
    </r>
    <r>
      <rPr>
        <b/>
        <sz val="10"/>
        <color rgb="FF000000"/>
        <rFont val="Calibri"/>
        <family val="2"/>
        <scheme val="minor"/>
      </rPr>
      <t>equal to 0</t>
    </r>
    <r>
      <rPr>
        <sz val="10"/>
        <color rgb="FF000000"/>
        <rFont val="Calibri"/>
        <family val="2"/>
        <scheme val="minor"/>
      </rPr>
      <t xml:space="preserve"> then select colour</t>
    </r>
    <r>
      <rPr>
        <b/>
        <sz val="10"/>
        <color rgb="FF000000"/>
        <rFont val="Calibri"/>
        <family val="2"/>
        <scheme val="minor"/>
      </rPr>
      <t xml:space="preserve"> light fill Green colour</t>
    </r>
    <r>
      <rPr>
        <sz val="10"/>
        <color rgb="FF000000"/>
        <rFont val="Calibri"/>
        <family val="2"/>
        <scheme val="minor"/>
      </rPr>
      <t xml:space="preserve">. </t>
    </r>
  </si>
  <si>
    <r>
      <t xml:space="preserve">Select first row by clicking on row number </t>
    </r>
    <r>
      <rPr>
        <b/>
        <sz val="10"/>
        <color rgb="FF000000"/>
        <rFont val="Calibri"/>
        <family val="2"/>
        <scheme val="minor"/>
      </rPr>
      <t>1</t>
    </r>
    <r>
      <rPr>
        <sz val="10"/>
        <color rgb="FF000000"/>
        <rFont val="Calibri"/>
        <family val="2"/>
        <scheme val="minor"/>
      </rPr>
      <t xml:space="preserve"> then goto </t>
    </r>
    <r>
      <rPr>
        <b/>
        <sz val="10"/>
        <color rgb="FF000000"/>
        <rFont val="Calibri"/>
        <family val="2"/>
        <scheme val="minor"/>
      </rPr>
      <t>View</t>
    </r>
    <r>
      <rPr>
        <sz val="10"/>
        <color rgb="FF000000"/>
        <rFont val="Calibri"/>
        <family val="2"/>
        <scheme val="minor"/>
      </rPr>
      <t xml:space="preserve"> and select</t>
    </r>
    <r>
      <rPr>
        <b/>
        <sz val="10"/>
        <color rgb="FF000000"/>
        <rFont val="Calibri"/>
        <family val="2"/>
        <scheme val="minor"/>
      </rPr>
      <t xml:space="preserve"> Freeze Panes</t>
    </r>
    <r>
      <rPr>
        <sz val="10"/>
        <color rgb="FF000000"/>
        <rFont val="Calibri"/>
        <family val="2"/>
        <scheme val="minor"/>
      </rPr>
      <t xml:space="preserve"> select </t>
    </r>
    <r>
      <rPr>
        <b/>
        <sz val="10"/>
        <color rgb="FF000000"/>
        <rFont val="Calibri"/>
        <family val="2"/>
        <scheme val="minor"/>
      </rPr>
      <t>Freeze Top Row</t>
    </r>
    <r>
      <rPr>
        <sz val="10"/>
        <color rgb="FF000000"/>
        <rFont val="Calibri"/>
        <family val="2"/>
        <scheme val="minor"/>
      </rPr>
      <t>.</t>
    </r>
  </si>
  <si>
    <r>
      <t xml:space="preserve">Select the date column value in row number 2 and press </t>
    </r>
    <r>
      <rPr>
        <b/>
        <sz val="10"/>
        <color rgb="FF000000"/>
        <rFont val="Calibri"/>
        <family val="2"/>
        <scheme val="minor"/>
      </rPr>
      <t>ctrl + shift + down arrow</t>
    </r>
    <r>
      <rPr>
        <sz val="10"/>
        <color rgb="FF000000"/>
        <rFont val="Calibri"/>
        <family val="2"/>
        <scheme val="minor"/>
      </rPr>
      <t xml:space="preserve"> then goto </t>
    </r>
    <r>
      <rPr>
        <b/>
        <sz val="10"/>
        <color rgb="FF000000"/>
        <rFont val="Calibri"/>
        <family val="2"/>
        <scheme val="minor"/>
      </rPr>
      <t>Home</t>
    </r>
    <r>
      <rPr>
        <sz val="10"/>
        <color rgb="FF000000"/>
        <rFont val="Calibri"/>
        <family val="2"/>
        <scheme val="minor"/>
      </rPr>
      <t xml:space="preserve"> menu select </t>
    </r>
    <r>
      <rPr>
        <b/>
        <sz val="10"/>
        <color rgb="FF000000"/>
        <rFont val="Calibri"/>
        <family val="2"/>
        <scheme val="minor"/>
      </rPr>
      <t>drop down menu in Number</t>
    </r>
    <r>
      <rPr>
        <sz val="10"/>
        <color rgb="FF000000"/>
        <rFont val="Calibri"/>
        <family val="2"/>
        <scheme val="minor"/>
      </rPr>
      <t xml:space="preserve"> section goto </t>
    </r>
    <r>
      <rPr>
        <b/>
        <sz val="10"/>
        <color rgb="FF000000"/>
        <rFont val="Calibri"/>
        <family val="2"/>
        <scheme val="minor"/>
      </rPr>
      <t>More Number Formats</t>
    </r>
    <r>
      <rPr>
        <sz val="10"/>
        <color rgb="FF000000"/>
        <rFont val="Calibri"/>
        <family val="2"/>
        <scheme val="minor"/>
      </rPr>
      <t xml:space="preserve"> select </t>
    </r>
    <r>
      <rPr>
        <b/>
        <sz val="10"/>
        <color rgb="FF000000"/>
        <rFont val="Calibri"/>
        <family val="2"/>
        <scheme val="minor"/>
      </rPr>
      <t xml:space="preserve">custom </t>
    </r>
    <r>
      <rPr>
        <sz val="10"/>
        <color rgb="FF000000"/>
        <rFont val="Calibri"/>
        <family val="2"/>
        <scheme val="minor"/>
      </rPr>
      <t>then give type as</t>
    </r>
    <r>
      <rPr>
        <b/>
        <sz val="10"/>
        <color rgb="FF000000"/>
        <rFont val="Calibri"/>
        <family val="2"/>
        <scheme val="minor"/>
      </rPr>
      <t xml:space="preserve"> yyyy-mm-dd. </t>
    </r>
    <r>
      <rPr>
        <sz val="10"/>
        <color rgb="FF000000"/>
        <rFont val="Calibri"/>
        <family val="2"/>
        <scheme val="minor"/>
      </rPr>
      <t>Now all the values in date column are changed to yyyy-mm-dd format.</t>
    </r>
  </si>
  <si>
    <r>
      <rPr>
        <b/>
        <sz val="14"/>
        <color rgb="FF000000"/>
        <rFont val="Calibri"/>
        <family val="2"/>
        <scheme val="minor"/>
      </rPr>
      <t xml:space="preserve">select </t>
    </r>
    <r>
      <rPr>
        <sz val="14"/>
        <color rgb="FF000000"/>
        <rFont val="Calibri"/>
        <family val="2"/>
        <scheme val="minor"/>
      </rPr>
      <t xml:space="preserve">the value 20000-Monday-0-Sunday-24 and goto </t>
    </r>
    <r>
      <rPr>
        <b/>
        <sz val="14"/>
        <color rgb="FF000000"/>
        <rFont val="Calibri"/>
        <family val="2"/>
        <scheme val="minor"/>
      </rPr>
      <t>Data</t>
    </r>
    <r>
      <rPr>
        <sz val="14"/>
        <color rgb="FF000000"/>
        <rFont val="Calibri"/>
        <family val="2"/>
        <scheme val="minor"/>
      </rPr>
      <t xml:space="preserve"> then </t>
    </r>
    <r>
      <rPr>
        <b/>
        <sz val="14"/>
        <color rgb="FF000000"/>
        <rFont val="Calibri"/>
        <family val="2"/>
        <scheme val="minor"/>
      </rPr>
      <t>Text to Columns</t>
    </r>
    <r>
      <rPr>
        <sz val="14"/>
        <color rgb="FF000000"/>
        <rFont val="Calibri"/>
        <family val="2"/>
        <scheme val="minor"/>
      </rPr>
      <t xml:space="preserve"> then </t>
    </r>
    <r>
      <rPr>
        <b/>
        <sz val="14"/>
        <color rgb="FF000000"/>
        <rFont val="Calibri"/>
        <family val="2"/>
        <scheme val="minor"/>
      </rPr>
      <t>Delimited</t>
    </r>
    <r>
      <rPr>
        <sz val="14"/>
        <color rgb="FF000000"/>
        <rFont val="Calibri"/>
        <family val="2"/>
        <scheme val="minor"/>
      </rPr>
      <t xml:space="preserve"> then in Delimiters select </t>
    </r>
    <r>
      <rPr>
        <b/>
        <sz val="14"/>
        <color rgb="FF000000"/>
        <rFont val="Calibri"/>
        <family val="2"/>
        <scheme val="minor"/>
      </rPr>
      <t>others and give -</t>
    </r>
    <r>
      <rPr>
        <sz val="14"/>
        <color rgb="FF000000"/>
        <rFont val="Calibri"/>
        <family val="2"/>
        <scheme val="minor"/>
      </rPr>
      <t xml:space="preserve"> in that, why because we want delimting values by - , then select </t>
    </r>
    <r>
      <rPr>
        <b/>
        <sz val="14"/>
        <color rgb="FF000000"/>
        <rFont val="Calibri"/>
        <family val="2"/>
        <scheme val="minor"/>
      </rPr>
      <t>destination</t>
    </r>
    <r>
      <rPr>
        <sz val="14"/>
        <color rgb="FF000000"/>
        <rFont val="Calibri"/>
        <family val="2"/>
        <scheme val="minor"/>
      </rPr>
      <t xml:space="preserve"> and click on </t>
    </r>
    <r>
      <rPr>
        <b/>
        <sz val="14"/>
        <color rgb="FF000000"/>
        <rFont val="Calibri"/>
        <family val="2"/>
        <scheme val="minor"/>
      </rPr>
      <t>from where we need to start split values</t>
    </r>
    <r>
      <rPr>
        <sz val="14"/>
        <color rgb="FF000000"/>
        <rFont val="Calibri"/>
        <family val="2"/>
        <scheme val="minor"/>
      </rPr>
      <t xml:space="preserve"> then </t>
    </r>
    <r>
      <rPr>
        <b/>
        <sz val="14"/>
        <color rgb="FF000000"/>
        <rFont val="Calibri"/>
        <family val="2"/>
        <scheme val="minor"/>
      </rPr>
      <t>finish.</t>
    </r>
    <r>
      <rPr>
        <sz val="14"/>
        <color rgb="FF000000"/>
        <rFont val="Calibri"/>
        <family val="2"/>
        <scheme val="minor"/>
      </rPr>
      <t xml:space="preserve"> now we get the splitted values into these 5 distinct cells given. (similarly we can do all of them likewise.) now in 16th row col_1 select this value and click ctrl+E we can get the required data. same to col_3, col_5 and col_6. col_4 it will not work for all values. </t>
    </r>
  </si>
  <si>
    <t>Text to Columns</t>
  </si>
  <si>
    <t>ALT + =</t>
  </si>
  <si>
    <t>first CTRL + F and find #N/A then Find ALL click find next replace value 20 and replace next then replace next. Now all #N/A values are filled with 20 except in question. Now goto C22 and click alt + = then enter we goet the total sum of sales result.</t>
  </si>
  <si>
    <t>INDEX(),MATCH(),VLOOKUP() three formulas are used.</t>
  </si>
  <si>
    <t>by combining above 3 formulas we get the final result.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</si>
</sst>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70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4" fontId="3" fillId="0" borderId="0" xfId="0" applyNumberFormat="1" applyFont="1"/>
    <xf numFmtId="170" fontId="3" fillId="0" borderId="0" xfId="0" applyNumberFormat="1" applyFont="1"/>
    <xf numFmtId="0" fontId="8" fillId="0" borderId="3" xfId="0" applyFont="1" applyBorder="1" applyAlignme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175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5" t="s">
        <v>169</v>
      </c>
      <c r="B9" s="25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1"/>
  <sheetViews>
    <sheetView zoomScaleNormal="100" workbookViewId="0">
      <pane ySplit="1" topLeftCell="A16" activePane="bottomLeft" state="frozen"/>
      <selection pane="bottomLeft" activeCell="G26" sqref="G2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5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3" t="s">
        <v>104</v>
      </c>
    </row>
    <row r="2" spans="1:25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5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  <c r="Y5" s="45"/>
    </row>
    <row r="6" spans="1:25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5" sqref="C1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174</v>
      </c>
    </row>
    <row r="2" spans="1:5" x14ac:dyDescent="0.3">
      <c r="A2" s="2"/>
      <c r="B2" s="5" t="s">
        <v>158</v>
      </c>
      <c r="C2" s="2"/>
    </row>
    <row r="3" spans="1:5" x14ac:dyDescent="0.3">
      <c r="A3" s="6">
        <v>1</v>
      </c>
      <c r="B3" s="2" t="s">
        <v>106</v>
      </c>
      <c r="C3" s="2" t="s">
        <v>176</v>
      </c>
      <c r="E3" s="1">
        <v>5</v>
      </c>
    </row>
    <row r="4" spans="1:5" x14ac:dyDescent="0.3">
      <c r="A4" s="6">
        <v>2</v>
      </c>
      <c r="B4" s="2" t="s">
        <v>45</v>
      </c>
      <c r="C4" s="2" t="s">
        <v>177</v>
      </c>
      <c r="E4" s="1">
        <v>5</v>
      </c>
    </row>
    <row r="5" spans="1:5" x14ac:dyDescent="0.3">
      <c r="A5" s="6">
        <v>3</v>
      </c>
      <c r="B5" s="2" t="s">
        <v>103</v>
      </c>
      <c r="C5" s="33">
        <f>SUMIF(H2:H40,"&gt;20")</f>
        <v>0</v>
      </c>
      <c r="E5" s="1">
        <v>10</v>
      </c>
    </row>
    <row r="6" spans="1:5" x14ac:dyDescent="0.3">
      <c r="A6" s="6">
        <v>4</v>
      </c>
      <c r="B6" s="2" t="s">
        <v>105</v>
      </c>
      <c r="C6" s="2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4" zoomScaleNormal="100" workbookViewId="0">
      <selection activeCell="H21" sqref="H2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54</v>
      </c>
      <c r="B1" s="40" t="s">
        <v>162</v>
      </c>
    </row>
    <row r="2" spans="1:7" s="40" customFormat="1" ht="21" x14ac:dyDescent="0.4">
      <c r="B2" s="40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160</v>
      </c>
      <c r="B4" s="1"/>
      <c r="C4" s="1"/>
      <c r="D4" s="1"/>
      <c r="E4" s="1"/>
      <c r="F4" s="1"/>
      <c r="G4" s="1"/>
    </row>
    <row r="5" spans="1:7" ht="14.4" x14ac:dyDescent="0.3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1">
        <f>VLOOKUP($A6,Dataset!$A$1:$X$40,MATCH(B$5,Dataset!$A$1:$X$1,0),FALSE)</f>
        <v>2.7</v>
      </c>
      <c r="C6" s="11">
        <f>VLOOKUP($A6,Dataset!$A$1:$X$40,MATCH(C$5,Dataset!$A$1:$X$1,0),FALSE)</f>
        <v>7.6</v>
      </c>
      <c r="D6" s="11">
        <f>VLOOKUP($A6,Dataset!$A$1:$X$40,MATCH(D$5,Dataset!$A$1:$X$1,0),FALSE)</f>
        <v>4.2</v>
      </c>
      <c r="E6" s="11">
        <f>VLOOKUP($A6,Dataset!$A$1:$X$40,MATCH(E$5,Dataset!$A$1:$X$1,0),FALSE)</f>
        <v>8.9</v>
      </c>
      <c r="F6" s="8">
        <f>VLOOKUP($A6,Dataset!$A$1:$X$40,MATCH(F$5,Dataset!$A$1:$X$1,0),FALSE)</f>
        <v>4.2</v>
      </c>
    </row>
    <row r="7" spans="1:7" ht="14.4" x14ac:dyDescent="0.3">
      <c r="A7" s="7" t="s">
        <v>4</v>
      </c>
      <c r="B7" s="11">
        <f>VLOOKUP($A7,Dataset!$A$1:$X$40,MATCH(B$5,Dataset!$A$1:$X$1,0),FALSE)</f>
        <v>2.7</v>
      </c>
      <c r="C7" s="11">
        <f>VLOOKUP($A7,Dataset!$A$1:$X$40,MATCH(C$5,Dataset!$A$1:$X$1,0),FALSE)</f>
        <v>7.6</v>
      </c>
      <c r="D7" s="11">
        <f>VLOOKUP($A7,Dataset!$A$1:$X$40,MATCH(D$5,Dataset!$A$1:$X$1,0),FALSE)</f>
        <v>4.2</v>
      </c>
      <c r="E7" s="11">
        <f>VLOOKUP($A7,Dataset!$A$1:$X$40,MATCH(E$5,Dataset!$A$1:$X$1,0),FALSE)</f>
        <v>8.9</v>
      </c>
      <c r="F7" s="8">
        <f>VLOOKUP($A7,Dataset!$A$1:$X$40,MATCH(F$5,Dataset!$A$1:$X$1,0),FALSE)</f>
        <v>4.2</v>
      </c>
    </row>
    <row r="8" spans="1:7" ht="14.4" x14ac:dyDescent="0.3">
      <c r="A8" s="7" t="s">
        <v>7</v>
      </c>
      <c r="B8" s="11">
        <f>VLOOKUP($A8,Dataset!$A$1:$X$40,MATCH(B$5,Dataset!$A$1:$X$1,0),FALSE)</f>
        <v>3.6</v>
      </c>
      <c r="C8" s="11">
        <f>VLOOKUP($A8,Dataset!$A$1:$X$40,MATCH(C$5,Dataset!$A$1:$X$1,0),FALSE)</f>
        <v>11.1</v>
      </c>
      <c r="D8" s="11">
        <f>VLOOKUP($A8,Dataset!$A$1:$X$40,MATCH(D$5,Dataset!$A$1:$X$1,0),FALSE)</f>
        <v>5.8</v>
      </c>
      <c r="E8" s="11">
        <f>VLOOKUP($A8,Dataset!$A$1:$X$40,MATCH(E$5,Dataset!$A$1:$X$1,0),FALSE)</f>
        <v>12.2</v>
      </c>
      <c r="F8" s="8">
        <f>VLOOKUP($A8,Dataset!$A$1:$X$40,MATCH(F$5,Dataset!$A$1:$X$1,0),FALSE)</f>
        <v>5.8</v>
      </c>
    </row>
    <row r="9" spans="1:7" ht="14.4" x14ac:dyDescent="0.3">
      <c r="A9" s="7" t="s">
        <v>8</v>
      </c>
      <c r="B9" s="11">
        <f>VLOOKUP($A9,Dataset!$A$1:$X$40,MATCH(B$5,Dataset!$A$1:$X$1,0),FALSE)</f>
        <v>4.9000000000000004</v>
      </c>
      <c r="C9" s="11">
        <f>VLOOKUP($A9,Dataset!$A$1:$X$40,MATCH(C$5,Dataset!$A$1:$X$1,0),FALSE)</f>
        <v>13.3</v>
      </c>
      <c r="D9" s="11">
        <f>VLOOKUP($A9,Dataset!$A$1:$X$40,MATCH(D$5,Dataset!$A$1:$X$1,0),FALSE)</f>
        <v>8.1</v>
      </c>
      <c r="E9" s="11">
        <f>VLOOKUP($A9,Dataset!$A$1:$X$40,MATCH(E$5,Dataset!$A$1:$X$1,0),FALSE)</f>
        <v>17</v>
      </c>
      <c r="F9" s="8">
        <f>VLOOKUP($A9,Dataset!$A$1:$X$40,MATCH(F$5,Dataset!$A$1:$X$1,0),FALSE)</f>
        <v>8.1</v>
      </c>
    </row>
    <row r="10" spans="1:7" ht="14.4" x14ac:dyDescent="0.3">
      <c r="A10" s="7" t="s">
        <v>11</v>
      </c>
      <c r="B10" s="11">
        <f>VLOOKUP($A10,Dataset!$A$1:$X$40,MATCH(B$5,Dataset!$A$1:$X$1,0),FALSE)</f>
        <v>9.4</v>
      </c>
      <c r="C10" s="11">
        <f>VLOOKUP($A10,Dataset!$A$1:$X$40,MATCH(C$5,Dataset!$A$1:$X$1,0),FALSE)</f>
        <v>28.3</v>
      </c>
      <c r="D10" s="11">
        <f>VLOOKUP($A10,Dataset!$A$1:$X$40,MATCH(D$5,Dataset!$A$1:$X$1,0),FALSE)</f>
        <v>16.100000000000001</v>
      </c>
      <c r="E10" s="11">
        <f>VLOOKUP($A10,Dataset!$A$1:$X$40,MATCH(E$5,Dataset!$A$1:$X$1,0),FALSE)</f>
        <v>32.799999999999997</v>
      </c>
      <c r="F10" s="8">
        <f>VLOOKUP($A10,Dataset!$A$1:$X$40,MATCH(F$5,Dataset!$A$1:$X$1,0),FALSE)</f>
        <v>16.100000000000001</v>
      </c>
    </row>
    <row r="11" spans="1:7" ht="14.4" x14ac:dyDescent="0.3">
      <c r="A11" s="7" t="s">
        <v>12</v>
      </c>
      <c r="B11" s="11">
        <f>VLOOKUP($A11,Dataset!$A$1:$X$40,MATCH(B$5,Dataset!$A$1:$X$1,0),FALSE)</f>
        <v>11.6</v>
      </c>
      <c r="C11" s="11">
        <f>VLOOKUP($A11,Dataset!$A$1:$X$40,MATCH(C$5,Dataset!$A$1:$X$1,0),FALSE)</f>
        <v>35.200000000000003</v>
      </c>
      <c r="D11" s="11">
        <f>VLOOKUP($A11,Dataset!$A$1:$X$40,MATCH(D$5,Dataset!$A$1:$X$1,0),FALSE)</f>
        <v>21.3</v>
      </c>
      <c r="E11" s="11">
        <f>VLOOKUP($A11,Dataset!$A$1:$X$40,MATCH(E$5,Dataset!$A$1:$X$1,0),FALSE)</f>
        <v>43</v>
      </c>
      <c r="F11" s="8">
        <f>VLOOKUP($A11,Dataset!$A$1:$X$40,MATCH(F$5,Dataset!$A$1:$X$1,0),FALSE)</f>
        <v>21.3</v>
      </c>
    </row>
    <row r="12" spans="1:7" ht="14.4" x14ac:dyDescent="0.3">
      <c r="A12" s="7" t="s">
        <v>14</v>
      </c>
      <c r="B12" s="11">
        <f>VLOOKUP($A12,Dataset!$A$1:$X$40,MATCH(B$5,Dataset!$A$1:$X$1,0),FALSE)</f>
        <v>18.399999999999999</v>
      </c>
      <c r="C12" s="11">
        <f>VLOOKUP($A12,Dataset!$A$1:$X$40,MATCH(C$5,Dataset!$A$1:$X$1,0),FALSE)</f>
        <v>55.6</v>
      </c>
      <c r="D12" s="11">
        <f>VLOOKUP($A12,Dataset!$A$1:$X$40,MATCH(D$5,Dataset!$A$1:$X$1,0),FALSE)</f>
        <v>33.799999999999997</v>
      </c>
      <c r="E12" s="11">
        <f>VLOOKUP($A12,Dataset!$A$1:$X$40,MATCH(E$5,Dataset!$A$1:$X$1,0),FALSE)</f>
        <v>67.900000000000006</v>
      </c>
      <c r="F12" s="8">
        <f>VLOOKUP($A12,Dataset!$A$1:$X$40,MATCH(F$5,Dataset!$A$1:$X$1,0),FALSE)</f>
        <v>33.799999999999997</v>
      </c>
    </row>
    <row r="13" spans="1:7" ht="14.4" x14ac:dyDescent="0.3">
      <c r="A13" s="7" t="s">
        <v>15</v>
      </c>
      <c r="B13" s="11">
        <f>VLOOKUP($A13,Dataset!$A$1:$X$40,MATCH(B$5,Dataset!$A$1:$X$1,0),FALSE)</f>
        <v>0</v>
      </c>
      <c r="C13" s="11">
        <f>VLOOKUP($A13,Dataset!$A$1:$X$40,MATCH(C$5,Dataset!$A$1:$X$1,0),FALSE)</f>
        <v>0</v>
      </c>
      <c r="D13" s="11">
        <f>VLOOKUP($A13,Dataset!$A$1:$X$40,MATCH(D$5,Dataset!$A$1:$X$1,0),FALSE)</f>
        <v>0</v>
      </c>
      <c r="E13" s="11">
        <f>VLOOKUP($A13,Dataset!$A$1:$X$40,MATCH(E$5,Dataset!$A$1:$X$1,0),FALSE)</f>
        <v>0</v>
      </c>
      <c r="F13" s="8">
        <f>VLOOKUP($A13,Dataset!$A$1:$X$40,MATCH(F$5,Dataset!$A$1:$X$1,0),FALSE)</f>
        <v>0</v>
      </c>
    </row>
    <row r="14" spans="1:7" ht="14.4" x14ac:dyDescent="0.3">
      <c r="A14" s="7" t="s">
        <v>16</v>
      </c>
      <c r="B14" s="11">
        <f>VLOOKUP($A14,Dataset!$A$1:$X$40,MATCH(B$5,Dataset!$A$1:$X$1,0),FALSE)</f>
        <v>21.9</v>
      </c>
      <c r="C14" s="11">
        <f>VLOOKUP($A14,Dataset!$A$1:$X$40,MATCH(C$5,Dataset!$A$1:$X$1,0),FALSE)</f>
        <v>61.5</v>
      </c>
      <c r="D14" s="11">
        <f>VLOOKUP($A14,Dataset!$A$1:$X$40,MATCH(D$5,Dataset!$A$1:$X$1,0),FALSE)</f>
        <v>40.1</v>
      </c>
      <c r="E14" s="11">
        <f>VLOOKUP($A14,Dataset!$A$1:$X$40,MATCH(E$5,Dataset!$A$1:$X$1,0),FALSE)</f>
        <v>76.599999999999994</v>
      </c>
      <c r="F14" s="8">
        <f>VLOOKUP($A14,Dataset!$A$1:$X$40,MATCH(F$5,Dataset!$A$1:$X$1,0),FALSE)</f>
        <v>40.1</v>
      </c>
    </row>
    <row r="15" spans="1:7" ht="14.4" x14ac:dyDescent="0.3">
      <c r="A15" s="7" t="s">
        <v>18</v>
      </c>
      <c r="B15" s="11">
        <f>VLOOKUP($A15,Dataset!$A$1:$X$40,MATCH(B$5,Dataset!$A$1:$X$1,0),FALSE)</f>
        <v>26.8</v>
      </c>
      <c r="C15" s="11">
        <f>VLOOKUP($A15,Dataset!$A$1:$X$40,MATCH(C$5,Dataset!$A$1:$X$1,0),FALSE)</f>
        <v>79.599999999999994</v>
      </c>
      <c r="D15" s="11">
        <f>VLOOKUP($A15,Dataset!$A$1:$X$40,MATCH(D$5,Dataset!$A$1:$X$1,0),FALSE)</f>
        <v>47.9</v>
      </c>
      <c r="E15" s="11">
        <f>VLOOKUP($A15,Dataset!$A$1:$X$40,MATCH(E$5,Dataset!$A$1:$X$1,0),FALSE)</f>
        <v>96.8</v>
      </c>
      <c r="F15" s="8">
        <f>VLOOKUP($A15,Dataset!$A$1:$X$40,MATCH(F$5,Dataset!$A$1:$X$1,0),FALSE)</f>
        <v>47.9</v>
      </c>
    </row>
    <row r="16" spans="1:7" ht="14.4" x14ac:dyDescent="0.3">
      <c r="A16" s="7" t="s">
        <v>20</v>
      </c>
      <c r="B16" s="11">
        <f>VLOOKUP($A16,Dataset!$A$1:$X$40,MATCH(B$5,Dataset!$A$1:$X$1,0),FALSE)</f>
        <v>28.5</v>
      </c>
      <c r="C16" s="11">
        <f>VLOOKUP($A16,Dataset!$A$1:$X$40,MATCH(C$5,Dataset!$A$1:$X$1,0),FALSE)</f>
        <v>85.4</v>
      </c>
      <c r="D16" s="11">
        <f>VLOOKUP($A16,Dataset!$A$1:$X$40,MATCH(D$5,Dataset!$A$1:$X$1,0),FALSE)</f>
        <v>52.3</v>
      </c>
      <c r="E16" s="11">
        <f>VLOOKUP($A16,Dataset!$A$1:$X$40,MATCH(E$5,Dataset!$A$1:$X$1,0),FALSE)</f>
        <v>106.1</v>
      </c>
      <c r="F16" s="8">
        <f>VLOOKUP($A16,Dataset!$A$1:$X$40,MATCH(F$5,Dataset!$A$1:$X$1,0),FALSE)</f>
        <v>52.3</v>
      </c>
    </row>
    <row r="17" spans="1:6" ht="14.4" x14ac:dyDescent="0.3">
      <c r="A17" s="7" t="s">
        <v>22</v>
      </c>
      <c r="B17" s="11">
        <f>VLOOKUP($A17,Dataset!$A$1:$X$40,MATCH(B$5,Dataset!$A$1:$X$1,0),FALSE)</f>
        <v>30.7</v>
      </c>
      <c r="C17" s="11">
        <f>VLOOKUP($A17,Dataset!$A$1:$X$40,MATCH(C$5,Dataset!$A$1:$X$1,0),FALSE)</f>
        <v>92.1</v>
      </c>
      <c r="D17" s="11">
        <f>VLOOKUP($A17,Dataset!$A$1:$X$40,MATCH(D$5,Dataset!$A$1:$X$1,0),FALSE)</f>
        <v>57</v>
      </c>
      <c r="E17" s="11">
        <f>VLOOKUP($A17,Dataset!$A$1:$X$40,MATCH(E$5,Dataset!$A$1:$X$1,0),FALSE)</f>
        <v>115.1</v>
      </c>
      <c r="F17" s="8">
        <f>VLOOKUP($A17,Dataset!$A$1:$X$40,MATCH(F$5,Dataset!$A$1:$X$1,0),FALSE)</f>
        <v>57</v>
      </c>
    </row>
    <row r="18" spans="1:6" ht="14.4" x14ac:dyDescent="0.3">
      <c r="A18" s="7" t="s">
        <v>23</v>
      </c>
      <c r="B18" s="11">
        <f>VLOOKUP($A18,Dataset!$A$1:$X$40,MATCH(B$5,Dataset!$A$1:$X$1,0),FALSE)</f>
        <v>33.799999999999997</v>
      </c>
      <c r="C18" s="11">
        <f>VLOOKUP($A18,Dataset!$A$1:$X$40,MATCH(C$5,Dataset!$A$1:$X$1,0),FALSE)</f>
        <v>101.3</v>
      </c>
      <c r="D18" s="11">
        <f>VLOOKUP($A18,Dataset!$A$1:$X$40,MATCH(D$5,Dataset!$A$1:$X$1,0),FALSE)</f>
        <v>61.4</v>
      </c>
      <c r="E18" s="11">
        <f>VLOOKUP($A18,Dataset!$A$1:$X$40,MATCH(E$5,Dataset!$A$1:$X$1,0),FALSE)</f>
        <v>124.4</v>
      </c>
      <c r="F18" s="8">
        <f>VLOOKUP($A18,Dataset!$A$1:$X$40,MATCH(F$5,Dataset!$A$1:$X$1,0),FALSE)</f>
        <v>61.4</v>
      </c>
    </row>
    <row r="19" spans="1:6" ht="14.4" x14ac:dyDescent="0.3">
      <c r="A19" s="7" t="s">
        <v>24</v>
      </c>
      <c r="B19" s="11">
        <f>VLOOKUP($A19,Dataset!$A$1:$X$40,MATCH(B$5,Dataset!$A$1:$X$1,0),FALSE)</f>
        <v>34.700000000000003</v>
      </c>
      <c r="C19" s="11">
        <f>VLOOKUP($A19,Dataset!$A$1:$X$40,MATCH(C$5,Dataset!$A$1:$X$1,0),FALSE)</f>
        <v>106.1</v>
      </c>
      <c r="D19" s="11">
        <f>VLOOKUP($A19,Dataset!$A$1:$X$40,MATCH(D$5,Dataset!$A$1:$X$1,0),FALSE)</f>
        <v>63.6</v>
      </c>
      <c r="E19" s="11">
        <f>VLOOKUP($A19,Dataset!$A$1:$X$40,MATCH(E$5,Dataset!$A$1:$X$1,0),FALSE)</f>
        <v>128.6</v>
      </c>
      <c r="F19" s="8">
        <f>VLOOKUP($A19,Dataset!$A$1:$X$40,MATCH(F$5,Dataset!$A$1:$X$1,0),FALSE)</f>
        <v>63.6</v>
      </c>
    </row>
    <row r="20" spans="1:6" ht="14.4" x14ac:dyDescent="0.3">
      <c r="A20" s="7" t="s">
        <v>28</v>
      </c>
      <c r="B20" s="11">
        <f>VLOOKUP($A20,Dataset!$A$1:$X$40,MATCH(B$5,Dataset!$A$1:$X$1,0),FALSE)</f>
        <v>0</v>
      </c>
      <c r="C20" s="11">
        <f>VLOOKUP($A20,Dataset!$A$1:$X$40,MATCH(C$5,Dataset!$A$1:$X$1,0),FALSE)</f>
        <v>0</v>
      </c>
      <c r="D20" s="11">
        <f>VLOOKUP($A20,Dataset!$A$1:$X$40,MATCH(D$5,Dataset!$A$1:$X$1,0),FALSE)</f>
        <v>0</v>
      </c>
      <c r="E20" s="11">
        <f>VLOOKUP($A20,Dataset!$A$1:$X$40,MATCH(E$5,Dataset!$A$1:$X$1,0),FALSE)</f>
        <v>0</v>
      </c>
      <c r="F20" s="8">
        <f>VLOOKUP($A20,Dataset!$A$1:$X$40,MATCH(F$5,Dataset!$A$1:$X$1,0),FALSE)</f>
        <v>0</v>
      </c>
    </row>
    <row r="21" spans="1:6" ht="14.4" x14ac:dyDescent="0.3">
      <c r="A21" s="7" t="s">
        <v>56</v>
      </c>
      <c r="B21" s="11">
        <f>VLOOKUP($A21,Dataset!$A$1:$X$40,MATCH(B$5,Dataset!$A$1:$X$1,0),FALSE)</f>
        <v>41.3</v>
      </c>
      <c r="C21" s="11">
        <f>VLOOKUP($A21,Dataset!$A$1:$X$40,MATCH(C$5,Dataset!$A$1:$X$1,0),FALSE)</f>
        <v>124.4</v>
      </c>
      <c r="D21" s="11">
        <f>VLOOKUP($A21,Dataset!$A$1:$X$40,MATCH(D$5,Dataset!$A$1:$X$1,0),FALSE)</f>
        <v>75</v>
      </c>
      <c r="E21" s="11">
        <f>VLOOKUP($A21,Dataset!$A$1:$X$40,MATCH(E$5,Dataset!$A$1:$X$1,0),FALSE)</f>
        <v>151.5</v>
      </c>
      <c r="F21" s="8">
        <f>VLOOKUP($A21,Dataset!$A$1:$X$40,MATCH(F$5,Dataset!$A$1:$X$1,0),FALSE)</f>
        <v>75</v>
      </c>
    </row>
    <row r="22" spans="1:6" ht="14.4" x14ac:dyDescent="0.3">
      <c r="A22" s="7" t="s">
        <v>57</v>
      </c>
      <c r="B22" s="11">
        <f>VLOOKUP($A22,Dataset!$A$1:$X$40,MATCH(B$5,Dataset!$A$1:$X$1,0),FALSE)</f>
        <v>-1</v>
      </c>
      <c r="C22" s="11">
        <f>VLOOKUP($A22,Dataset!$A$1:$X$40,MATCH(C$5,Dataset!$A$1:$X$1,0),FALSE)</f>
        <v>-1</v>
      </c>
      <c r="D22" s="11">
        <f>VLOOKUP($A22,Dataset!$A$1:$X$40,MATCH(D$5,Dataset!$A$1:$X$1,0),FALSE)</f>
        <v>-1</v>
      </c>
      <c r="E22" s="11">
        <f>VLOOKUP($A22,Dataset!$A$1:$X$40,MATCH(E$5,Dataset!$A$1:$X$1,0),FALSE)</f>
        <v>-1</v>
      </c>
      <c r="F22" s="8">
        <f>VLOOKUP($A22,Dataset!$A$1:$X$40,MATCH(F$5,Dataset!$A$1:$X$1,0),FALSE)</f>
        <v>-1</v>
      </c>
    </row>
    <row r="23" spans="1:6" ht="14.4" x14ac:dyDescent="0.3">
      <c r="A23" s="7" t="s">
        <v>31</v>
      </c>
      <c r="B23" s="11">
        <f>VLOOKUP($A23,Dataset!$A$1:$X$40,MATCH(B$5,Dataset!$A$1:$X$1,0),FALSE)</f>
        <v>45</v>
      </c>
      <c r="C23" s="11">
        <f>VLOOKUP($A23,Dataset!$A$1:$X$40,MATCH(C$5,Dataset!$A$1:$X$1,0),FALSE)</f>
        <v>133.4</v>
      </c>
      <c r="D23" s="11">
        <f>VLOOKUP($A23,Dataset!$A$1:$X$40,MATCH(D$5,Dataset!$A$1:$X$1,0),FALSE)</f>
        <v>79.400000000000006</v>
      </c>
      <c r="E23" s="11">
        <f>VLOOKUP($A23,Dataset!$A$1:$X$40,MATCH(E$5,Dataset!$A$1:$X$1,0),FALSE)</f>
        <v>160.9</v>
      </c>
      <c r="F23" s="8">
        <f>VLOOKUP($A23,Dataset!$A$1:$X$40,MATCH(F$5,Dataset!$A$1:$X$1,0),FALSE)</f>
        <v>79.400000000000006</v>
      </c>
    </row>
    <row r="24" spans="1:6" ht="14.4" x14ac:dyDescent="0.3">
      <c r="A24" s="7" t="s">
        <v>32</v>
      </c>
      <c r="B24" s="11">
        <f>VLOOKUP($A24,Dataset!$A$1:$X$40,MATCH(B$5,Dataset!$A$1:$X$1,0),FALSE)</f>
        <v>-1</v>
      </c>
      <c r="C24" s="11">
        <f>VLOOKUP($A24,Dataset!$A$1:$X$40,MATCH(C$5,Dataset!$A$1:$X$1,0),FALSE)</f>
        <v>-1</v>
      </c>
      <c r="D24" s="11">
        <f>VLOOKUP($A24,Dataset!$A$1:$X$40,MATCH(D$5,Dataset!$A$1:$X$1,0),FALSE)</f>
        <v>-1</v>
      </c>
      <c r="E24" s="11">
        <f>VLOOKUP($A24,Dataset!$A$1:$X$40,MATCH(E$5,Dataset!$A$1:$X$1,0),FALSE)</f>
        <v>-1</v>
      </c>
      <c r="F24" s="8">
        <f>VLOOKUP($A24,Dataset!$A$1:$X$40,MATCH(F$5,Dataset!$A$1:$X$1,0),FALSE)</f>
        <v>-1</v>
      </c>
    </row>
    <row r="25" spans="1:6" ht="14.4" x14ac:dyDescent="0.3">
      <c r="A25" s="7" t="s">
        <v>34</v>
      </c>
      <c r="B25" s="11">
        <f>VLOOKUP($A25,Dataset!$A$1:$X$40,MATCH(B$5,Dataset!$A$1:$X$1,0),FALSE)</f>
        <v>43.3</v>
      </c>
      <c r="C25" s="11">
        <f>VLOOKUP($A25,Dataset!$A$1:$X$40,MATCH(C$5,Dataset!$A$1:$X$1,0),FALSE)</f>
        <v>128.6</v>
      </c>
      <c r="D25" s="11">
        <f>VLOOKUP($A25,Dataset!$A$1:$X$40,MATCH(D$5,Dataset!$A$1:$X$1,0),FALSE)</f>
        <v>79.400000000000006</v>
      </c>
      <c r="E25" s="11">
        <f>VLOOKUP($A25,Dataset!$A$1:$X$40,MATCH(E$5,Dataset!$A$1:$X$1,0),FALSE)</f>
        <v>160.9</v>
      </c>
      <c r="F25" s="8">
        <f>VLOOKUP($A25,Dataset!$A$1:$X$40,MATCH(F$5,Dataset!$A$1:$X$1,0),FALSE)</f>
        <v>79.400000000000006</v>
      </c>
    </row>
    <row r="26" spans="1:6" ht="14.4" x14ac:dyDescent="0.3">
      <c r="A26" s="7" t="s">
        <v>37</v>
      </c>
      <c r="B26" s="11">
        <f>VLOOKUP($A26,Dataset!$A$1:$X$40,MATCH(B$5,Dataset!$A$1:$X$1,0),FALSE)</f>
        <v>49.1</v>
      </c>
      <c r="C26" s="11">
        <f>VLOOKUP($A26,Dataset!$A$1:$X$40,MATCH(C$5,Dataset!$A$1:$X$1,0),FALSE)</f>
        <v>146.80000000000001</v>
      </c>
      <c r="D26" s="11">
        <f>VLOOKUP($A25,Dataset!$A$1:$X$40,MATCH(D$5,Dataset!$A$1:$X$1,0),FALSE)</f>
        <v>79.400000000000006</v>
      </c>
      <c r="E26" s="11">
        <f>VLOOKUP($A26,Dataset!$A$1:$X$40,MATCH(E$5,Dataset!$A$1:$X$1,0),FALSE)</f>
        <v>183.5</v>
      </c>
      <c r="F26" s="8">
        <f>VLOOKUP($A26,Dataset!$A$1:$X$40,MATCH(F$5,Dataset!$A$1:$X$1,0),FALSE)</f>
        <v>90.9</v>
      </c>
    </row>
    <row r="27" spans="1:6" ht="14.4" x14ac:dyDescent="0.3">
      <c r="A27" s="7" t="s">
        <v>39</v>
      </c>
      <c r="B27" s="11">
        <f>VLOOKUP($A27,Dataset!$A$1:$X$40,MATCH(B$5,Dataset!$A$1:$X$1,0),FALSE)</f>
        <v>51.8</v>
      </c>
      <c r="C27" s="11">
        <f>VLOOKUP($A27,Dataset!$A$1:$X$40,MATCH(C$5,Dataset!$A$1:$X$1,0),FALSE)</f>
        <v>156.4</v>
      </c>
      <c r="D27" s="11">
        <f>VLOOKUP($A27,Dataset!$A$1:$X$40,MATCH(D$5,Dataset!$A$1:$X$1,0),FALSE)</f>
        <v>93.1</v>
      </c>
      <c r="E27" s="11">
        <f>VLOOKUP($A27,Dataset!$A$1:$X$40,MATCH(E$5,Dataset!$A$1:$X$1,0),FALSE)</f>
        <v>188.1</v>
      </c>
      <c r="F27" s="8">
        <f>VLOOKUP($A27,Dataset!$A$1:$X$40,MATCH(F$5,Dataset!$A$1:$X$1,0),FALSE)</f>
        <v>93.1</v>
      </c>
    </row>
    <row r="28" spans="1:6" ht="14.4" x14ac:dyDescent="0.3">
      <c r="A28" s="18" t="s">
        <v>81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82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83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37.277272727272731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34" zoomScaleNormal="100" workbookViewId="0">
      <selection activeCell="C7" sqref="C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55</v>
      </c>
      <c r="B1" s="40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149</v>
      </c>
    </row>
    <row r="5" spans="1:10" ht="18" x14ac:dyDescent="0.35">
      <c r="A5" s="42" t="s">
        <v>52</v>
      </c>
      <c r="B5" s="39" t="s">
        <v>180</v>
      </c>
    </row>
    <row r="6" spans="1:10" ht="18" x14ac:dyDescent="0.35">
      <c r="A6" s="42" t="s">
        <v>151</v>
      </c>
      <c r="B6" s="39" t="s">
        <v>179</v>
      </c>
    </row>
    <row r="7" spans="1:10" ht="18" x14ac:dyDescent="0.35">
      <c r="A7" s="42"/>
      <c r="B7" s="39"/>
    </row>
    <row r="9" spans="1:10" ht="23.4" x14ac:dyDescent="0.45">
      <c r="A9" s="17" t="s">
        <v>163</v>
      </c>
      <c r="I9" s="2"/>
      <c r="J9" s="2"/>
    </row>
    <row r="10" spans="1:10" x14ac:dyDescent="0.3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">
      <c r="A11" s="9" t="s">
        <v>119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160</v>
      </c>
    </row>
    <row r="15" spans="1:10" x14ac:dyDescent="0.3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">
      <c r="A16" s="7" t="s">
        <v>119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120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121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122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123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124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125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126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127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128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129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130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131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132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133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134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135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136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137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138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139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140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141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142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143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144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145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146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147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148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110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111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112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113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114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115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116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117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118</v>
      </c>
      <c r="B54" s="12">
        <v>21016</v>
      </c>
      <c r="C54" s="1" t="s">
        <v>5</v>
      </c>
      <c r="D54" s="11">
        <v>0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E19" sqref="E1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84</v>
      </c>
      <c r="B1" s="40" t="s">
        <v>165</v>
      </c>
    </row>
    <row r="2" spans="1:3" ht="18" x14ac:dyDescent="0.35">
      <c r="B2" s="39" t="s">
        <v>164</v>
      </c>
    </row>
    <row r="5" spans="1:3" ht="14.4" x14ac:dyDescent="0.3">
      <c r="B5" s="1" t="s">
        <v>149</v>
      </c>
    </row>
    <row r="6" spans="1:3" ht="14.4" x14ac:dyDescent="0.3">
      <c r="A6" s="3" t="s">
        <v>52</v>
      </c>
      <c r="B6" s="1" t="s">
        <v>181</v>
      </c>
    </row>
    <row r="7" spans="1:3" ht="14.4" x14ac:dyDescent="0.3">
      <c r="A7" s="3" t="s">
        <v>151</v>
      </c>
      <c r="B7" s="1" t="s">
        <v>182</v>
      </c>
    </row>
    <row r="10" spans="1:3" ht="23.4" x14ac:dyDescent="0.45">
      <c r="A10" s="17" t="s">
        <v>160</v>
      </c>
    </row>
    <row r="11" spans="1:3" ht="14.4" x14ac:dyDescent="0.3">
      <c r="A11" s="31" t="s">
        <v>85</v>
      </c>
      <c r="B11" s="16" t="s">
        <v>86</v>
      </c>
      <c r="C11" s="16" t="s">
        <v>87</v>
      </c>
    </row>
    <row r="12" spans="1:3" ht="14.4" x14ac:dyDescent="0.3">
      <c r="A12" s="31">
        <v>44927</v>
      </c>
      <c r="B12" s="16" t="s">
        <v>58</v>
      </c>
      <c r="C12" s="16">
        <v>200</v>
      </c>
    </row>
    <row r="13" spans="1:3" ht="14.4" x14ac:dyDescent="0.3">
      <c r="A13" s="31">
        <v>44928</v>
      </c>
      <c r="B13" s="16" t="s">
        <v>59</v>
      </c>
      <c r="C13" s="16">
        <v>20</v>
      </c>
    </row>
    <row r="14" spans="1:3" ht="14.4" x14ac:dyDescent="0.3">
      <c r="A14" s="31">
        <v>44929</v>
      </c>
      <c r="B14" s="16" t="s">
        <v>60</v>
      </c>
      <c r="C14" s="16">
        <v>50</v>
      </c>
    </row>
    <row r="15" spans="1:3" ht="14.4" x14ac:dyDescent="0.3">
      <c r="A15" s="31">
        <v>44930</v>
      </c>
      <c r="B15" s="16" t="s">
        <v>61</v>
      </c>
      <c r="C15" s="16">
        <v>20</v>
      </c>
    </row>
    <row r="16" spans="1:3" ht="14.4" x14ac:dyDescent="0.3">
      <c r="A16" s="31">
        <v>44931</v>
      </c>
      <c r="B16" s="16" t="s">
        <v>62</v>
      </c>
      <c r="C16" s="16">
        <v>10</v>
      </c>
    </row>
    <row r="17" spans="1:3" ht="14.4" x14ac:dyDescent="0.3">
      <c r="A17" s="31">
        <v>44932</v>
      </c>
      <c r="B17" s="16" t="s">
        <v>152</v>
      </c>
      <c r="C17" s="16">
        <v>150</v>
      </c>
    </row>
    <row r="18" spans="1:3" ht="14.4" x14ac:dyDescent="0.3">
      <c r="A18" s="31">
        <v>44933</v>
      </c>
      <c r="B18" s="16" t="s">
        <v>153</v>
      </c>
      <c r="C18" s="16">
        <v>80</v>
      </c>
    </row>
    <row r="19" spans="1:3" ht="14.4" x14ac:dyDescent="0.3">
      <c r="A19" s="31">
        <v>44934</v>
      </c>
      <c r="B19" s="16" t="s">
        <v>154</v>
      </c>
      <c r="C19" s="16">
        <v>20</v>
      </c>
    </row>
    <row r="20" spans="1:3" ht="14.4" x14ac:dyDescent="0.3">
      <c r="A20" s="31">
        <v>44935</v>
      </c>
      <c r="B20" s="16" t="s">
        <v>155</v>
      </c>
      <c r="C20" s="16">
        <v>30</v>
      </c>
    </row>
    <row r="21" spans="1:3" ht="14.4" x14ac:dyDescent="0.3">
      <c r="A21" s="31">
        <v>44936</v>
      </c>
      <c r="B21" s="16" t="s">
        <v>156</v>
      </c>
      <c r="C21" s="16">
        <v>20</v>
      </c>
    </row>
    <row r="22" spans="1:3" ht="14.4" x14ac:dyDescent="0.3">
      <c r="B22" s="16" t="s">
        <v>157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7" zoomScale="102" zoomScaleNormal="102" workbookViewId="0">
      <selection activeCell="G5" sqref="G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97</v>
      </c>
      <c r="B1" s="40" t="s">
        <v>173</v>
      </c>
    </row>
    <row r="3" spans="1:14" ht="14.4" x14ac:dyDescent="0.3">
      <c r="B3" s="1" t="s">
        <v>149</v>
      </c>
    </row>
    <row r="4" spans="1:14" ht="18" x14ac:dyDescent="0.35">
      <c r="A4" s="42" t="s">
        <v>52</v>
      </c>
      <c r="B4" s="1" t="s">
        <v>183</v>
      </c>
    </row>
    <row r="5" spans="1:14" ht="18" x14ac:dyDescent="0.35">
      <c r="A5" s="42" t="s">
        <v>151</v>
      </c>
      <c r="B5" s="1" t="s">
        <v>184</v>
      </c>
    </row>
    <row r="6" spans="1:14" ht="14.4" x14ac:dyDescent="0.3">
      <c r="A6" s="3"/>
      <c r="B6" s="1"/>
    </row>
    <row r="8" spans="1:14" ht="23.4" x14ac:dyDescent="0.45">
      <c r="A8" s="17" t="s">
        <v>160</v>
      </c>
      <c r="M8" s="17" t="s">
        <v>161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166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7">
        <f>INDEX($B$10:$J$18,MATCH(VLOOKUP($A23,$M$10:$N$18,2,FALSE),$A$10:$A$18,0),MATCH(VLOOKUP($B23,$M$10:$N$18,2,FALSE),$B$9:$J$9,0))</f>
        <v>95</v>
      </c>
    </row>
    <row r="24" spans="1:14" ht="14.4" x14ac:dyDescent="0.3">
      <c r="A24" s="7">
        <v>10100</v>
      </c>
      <c r="B24" s="11">
        <v>10104</v>
      </c>
      <c r="C24" s="43">
        <f>INDEX($B$10:$J$18,MATCH(VLOOKUP($A24,$M$10:$N$18,2,FALSE),$A$10:$A$18,0),MATCH(VLOOKUP($B24,$M$10:$N$18,2,FALSE),$B$9:$J$9,0))</f>
        <v>-1</v>
      </c>
    </row>
    <row r="25" spans="1:14" ht="14.4" x14ac:dyDescent="0.3">
      <c r="A25" s="7">
        <v>10108</v>
      </c>
      <c r="B25" s="11">
        <v>10102</v>
      </c>
      <c r="C25" s="43">
        <f>INDEX($B$10:$J$18,MATCH(VLOOKUP($A25,$M$10:$N$18,2,FALSE),$A$10:$A$18,0),MATCH(VLOOKUP($B25,$M$10:$N$18,2,FALSE),$B$9:$J$9,0))</f>
        <v>160</v>
      </c>
    </row>
    <row r="26" spans="1:14" ht="14.4" x14ac:dyDescent="0.3">
      <c r="A26" s="7">
        <v>10100</v>
      </c>
      <c r="B26" s="11">
        <v>10106</v>
      </c>
      <c r="C26" s="43">
        <f>INDEX($B$10:$J$18,MATCH(VLOOKUP($A26,$M$10:$N$18,2,FALSE),$A$10:$A$18,0),MATCH(VLOOKUP($B26,$M$10:$N$18,2,FALSE),$B$9:$J$9,0))</f>
        <v>185</v>
      </c>
    </row>
    <row r="27" spans="1:14" ht="14.4" x14ac:dyDescent="0.3">
      <c r="A27" s="7">
        <v>10108</v>
      </c>
      <c r="B27" s="11">
        <v>10110</v>
      </c>
      <c r="C27" s="43">
        <f>INDEX($B$10:$J$18,MATCH(VLOOKUP($A27,$M$10:$N$18,2,FALSE),$A$10:$A$18,0),MATCH(VLOOKUP($B27,$M$10:$N$18,2,FALSE),$B$9:$J$9,0))</f>
        <v>50</v>
      </c>
    </row>
    <row r="28" spans="1:14" ht="14.4" x14ac:dyDescent="0.3">
      <c r="A28" s="7">
        <v>10102</v>
      </c>
      <c r="B28" s="11">
        <v>10104</v>
      </c>
      <c r="C28" s="43">
        <f>INDEX($B$10:$J$18,MATCH(VLOOKUP($A28,$M$10:$N$18,2,FALSE),$A$10:$A$18,0),MATCH(VLOOKUP($B28,$M$10:$N$18,2,FALSE),$B$9:$J$9,0))</f>
        <v>-1</v>
      </c>
    </row>
    <row r="29" spans="1:14" ht="14.4" x14ac:dyDescent="0.3">
      <c r="A29" s="7">
        <v>10106</v>
      </c>
      <c r="B29" s="11">
        <v>10108</v>
      </c>
      <c r="C29" s="43">
        <f>INDEX($B$10:$J$18,MATCH(VLOOKUP($A29,$M$10:$N$18,2,FALSE),$A$10:$A$18,0),MATCH(VLOOKUP($B29,$M$10:$N$18,2,FALSE),$B$9:$J$9,0))</f>
        <v>70</v>
      </c>
    </row>
    <row r="30" spans="1:14" ht="14.4" x14ac:dyDescent="0.3">
      <c r="A30" s="7">
        <v>10102</v>
      </c>
      <c r="B30" s="11">
        <v>10106</v>
      </c>
      <c r="C30" s="43">
        <f>INDEX($B$10:$J$18,MATCH(VLOOKUP($A30,$M$10:$N$18,2,FALSE),$A$10:$A$18,0),MATCH(VLOOKUP($B30,$M$10:$N$18,2,FALSE),$B$9:$J$9,0))</f>
        <v>90</v>
      </c>
    </row>
    <row r="31" spans="1:14" ht="14.4" x14ac:dyDescent="0.3">
      <c r="A31" s="7">
        <v>10110</v>
      </c>
      <c r="B31" s="11">
        <v>10114</v>
      </c>
      <c r="C31" s="43">
        <f>INDEX($B$10:$J$18,MATCH(VLOOKUP($A31,$M$10:$N$18,2,FALSE),$A$10:$A$18,0),MATCH(VLOOKUP($B31,$M$10:$N$18,2,FALSE),$B$9:$J$9,0))</f>
        <v>180</v>
      </c>
    </row>
    <row r="32" spans="1:14" ht="14.4" x14ac:dyDescent="0.3">
      <c r="A32" s="7">
        <v>10104</v>
      </c>
      <c r="B32" s="11">
        <v>10106</v>
      </c>
      <c r="C32" s="43">
        <f>INDEX($B$10:$J$18,MATCH(VLOOKUP($A32,$M$10:$N$18,2,FALSE),$A$10:$A$18,0),MATCH(VLOOKUP($B32,$M$10:$N$18,2,FALSE),$B$9:$J$9,0))</f>
        <v>60</v>
      </c>
    </row>
    <row r="33" spans="1:3" ht="14.4" x14ac:dyDescent="0.3">
      <c r="A33" s="7">
        <v>10110</v>
      </c>
      <c r="B33" s="11">
        <v>10112</v>
      </c>
      <c r="C33" s="43">
        <f>INDEX($B$10:$J$18,MATCH(VLOOKUP($A33,$M$10:$N$18,2,FALSE),$A$10:$A$18,0),MATCH(VLOOKUP($B33,$M$10:$N$18,2,FALSE),$B$9:$J$9,0))</f>
        <v>115</v>
      </c>
    </row>
    <row r="34" spans="1:3" ht="14.4" x14ac:dyDescent="0.3">
      <c r="A34" s="7">
        <v>10100</v>
      </c>
      <c r="B34" s="11">
        <v>10114</v>
      </c>
      <c r="C34" s="43">
        <f>INDEX($B$10:$J$18,MATCH(VLOOKUP($A34,$M$10:$N$18,2,FALSE),$A$10:$A$18,0),MATCH(VLOOKUP($B34,$M$10:$N$18,2,FALSE),$B$9:$J$9,0))</f>
        <v>480</v>
      </c>
    </row>
    <row r="35" spans="1:3" ht="14.4" x14ac:dyDescent="0.3">
      <c r="A35" s="9">
        <v>10112</v>
      </c>
      <c r="B35" s="12">
        <v>10116</v>
      </c>
      <c r="C35" s="44">
        <f>INDEX($B$10:$J$18,MATCH(VLOOKUP($A35,$M$10:$N$18,2,FALSE),$A$10:$A$18,0),MATCH(VLOOKUP($B35,$M$10:$N$18,2,FALSE),$B$9:$J$9,0))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mahilocal</cp:lastModifiedBy>
  <dcterms:created xsi:type="dcterms:W3CDTF">2015-02-10T17:33:11Z</dcterms:created>
  <dcterms:modified xsi:type="dcterms:W3CDTF">2024-10-24T16:34:03Z</dcterms:modified>
</cp:coreProperties>
</file>